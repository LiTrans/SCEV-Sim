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e133ed448fc7105/Desktop/PhD/Papers/Nature/Emissions and Vulnerabilities Analysis for Sustainable Global EV Supply Chain/SCEV_Sim/Data/Simulation Output/Analysis and Figures Data/"/>
    </mc:Choice>
  </mc:AlternateContent>
  <xr:revisionPtr revIDLastSave="28" documentId="11_F25DC773A252ABDACC1048B5295A5D3C5BDE58EE" xr6:coauthVersionLast="47" xr6:coauthVersionMax="47" xr10:uidLastSave="{6393CB43-56AC-4161-9C34-D7713395B5D7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J71" i="1" s="1"/>
  <c r="F68" i="1"/>
  <c r="I71" i="1" s="1"/>
  <c r="E68" i="1"/>
  <c r="H71" i="1" s="1"/>
  <c r="G65" i="1"/>
  <c r="J66" i="1" s="1"/>
  <c r="F65" i="1"/>
  <c r="I66" i="1" s="1"/>
  <c r="E65" i="1"/>
  <c r="H66" i="1" s="1"/>
  <c r="D39" i="1"/>
  <c r="C39" i="1"/>
  <c r="E39" i="1" s="1"/>
  <c r="D38" i="1"/>
  <c r="C38" i="1"/>
  <c r="E38" i="1" s="1"/>
  <c r="D37" i="1"/>
  <c r="C37" i="1"/>
  <c r="E37" i="1" s="1"/>
  <c r="D36" i="1"/>
  <c r="C36" i="1"/>
  <c r="E36" i="1" s="1"/>
  <c r="D35" i="1"/>
  <c r="C35" i="1"/>
  <c r="E35" i="1" s="1"/>
  <c r="D34" i="1"/>
  <c r="C34" i="1"/>
  <c r="E34" i="1" s="1"/>
  <c r="D33" i="1"/>
  <c r="C33" i="1"/>
  <c r="E33" i="1" s="1"/>
  <c r="D32" i="1"/>
  <c r="C32" i="1"/>
  <c r="E32" i="1" s="1"/>
  <c r="D31" i="1"/>
  <c r="C31" i="1"/>
  <c r="E31" i="1" s="1"/>
  <c r="D30" i="1"/>
  <c r="C30" i="1"/>
  <c r="E30" i="1" s="1"/>
  <c r="D29" i="1"/>
  <c r="C29" i="1"/>
  <c r="E29" i="1" s="1"/>
  <c r="D28" i="1"/>
  <c r="C28" i="1"/>
  <c r="E28" i="1" s="1"/>
  <c r="L6" i="1"/>
  <c r="K6" i="1"/>
  <c r="J6" i="1"/>
  <c r="I6" i="1"/>
  <c r="L5" i="1"/>
  <c r="K5" i="1"/>
  <c r="J5" i="1"/>
  <c r="I5" i="1"/>
  <c r="L4" i="1"/>
  <c r="K4" i="1"/>
  <c r="J4" i="1"/>
  <c r="I4" i="1"/>
</calcChain>
</file>

<file path=xl/sharedStrings.xml><?xml version="1.0" encoding="utf-8"?>
<sst xmlns="http://schemas.openxmlformats.org/spreadsheetml/2006/main" count="120" uniqueCount="46">
  <si>
    <t xml:space="preserve">Values and Percentage of Emissions per Stage </t>
  </si>
  <si>
    <t xml:space="preserve">Simulation Results </t>
  </si>
  <si>
    <t xml:space="preserve">EP </t>
  </si>
  <si>
    <t>PB</t>
  </si>
  <si>
    <t>BV</t>
  </si>
  <si>
    <t>VM</t>
  </si>
  <si>
    <t>EP</t>
  </si>
  <si>
    <t>HN</t>
  </si>
  <si>
    <t>LFP</t>
  </si>
  <si>
    <t>NMC</t>
  </si>
  <si>
    <t xml:space="preserve">Emission Per Transport Style </t>
  </si>
  <si>
    <t>Stage</t>
  </si>
  <si>
    <t>Battery Type</t>
  </si>
  <si>
    <t>Land Emissions</t>
  </si>
  <si>
    <t>Sea Emissions</t>
  </si>
  <si>
    <t>Total Emissions</t>
  </si>
  <si>
    <t xml:space="preserve">Emission Per Vehicle Manifacturer </t>
  </si>
  <si>
    <t>Manufacturer</t>
  </si>
  <si>
    <t>BYD</t>
  </si>
  <si>
    <t>Hyundai</t>
  </si>
  <si>
    <t>TESLA</t>
  </si>
  <si>
    <t>VW</t>
  </si>
  <si>
    <t xml:space="preserve">Emission Per Battery Manifacturer </t>
  </si>
  <si>
    <t>Battery_Manufacturer</t>
  </si>
  <si>
    <t>CATL</t>
  </si>
  <si>
    <t>LG</t>
  </si>
  <si>
    <t>Panasonic</t>
  </si>
  <si>
    <t xml:space="preserve">Emission Per Market </t>
  </si>
  <si>
    <t>Current Market</t>
  </si>
  <si>
    <t>Market</t>
  </si>
  <si>
    <t>Asia</t>
  </si>
  <si>
    <t xml:space="preserve">EU&amp; UK </t>
  </si>
  <si>
    <t xml:space="preserve">Americas </t>
  </si>
  <si>
    <t>China</t>
  </si>
  <si>
    <t>EU and UK</t>
  </si>
  <si>
    <t xml:space="preserve">Future Expansion </t>
  </si>
  <si>
    <t>N. America</t>
  </si>
  <si>
    <t>Others</t>
  </si>
  <si>
    <t>Optimal Market Structure</t>
  </si>
  <si>
    <t>Future Scenario Emissions</t>
  </si>
  <si>
    <t>EU &amp; UK</t>
  </si>
  <si>
    <t xml:space="preserve">Total </t>
  </si>
  <si>
    <t xml:space="preserve">total </t>
  </si>
  <si>
    <t>Total Sales GWH</t>
  </si>
  <si>
    <t>Share per technology</t>
  </si>
  <si>
    <t>Total Emissions Per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</si>
</sst>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9" fontId="0" fillId="0" borderId="1" xfId="0" applyNumberFormat="1" applyBorder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9" fontId="0" fillId="0" borderId="0" xfId="1" applyFont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topLeftCell="A47" workbookViewId="0">
      <selection activeCell="C89" sqref="C89"/>
    </sheetView>
  </sheetViews>
  <sheetFormatPr defaultRowHeight="15" x14ac:dyDescent="0.25"/>
  <cols>
    <col min="1" max="5" width="23.42578125" customWidth="1"/>
    <col min="6" max="6" width="12.7109375" bestFit="1" customWidth="1"/>
    <col min="7" max="7" width="10.5703125" customWidth="1"/>
  </cols>
  <sheetData>
    <row r="1" spans="1:13" ht="21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35" t="s">
        <v>1</v>
      </c>
      <c r="B2" s="35"/>
      <c r="C2" s="35"/>
      <c r="D2" s="35"/>
      <c r="E2" s="35"/>
      <c r="F2" s="35"/>
      <c r="H2" s="35" t="s">
        <v>1</v>
      </c>
      <c r="I2" s="35"/>
      <c r="J2" s="35"/>
      <c r="K2" s="35"/>
      <c r="L2" s="35"/>
      <c r="M2" s="35"/>
    </row>
    <row r="3" spans="1:13" x14ac:dyDescent="0.25">
      <c r="A3" s="2"/>
      <c r="B3" s="2" t="s">
        <v>2</v>
      </c>
      <c r="C3" s="2" t="s">
        <v>3</v>
      </c>
      <c r="D3" s="2" t="s">
        <v>4</v>
      </c>
      <c r="E3" s="2" t="s">
        <v>5</v>
      </c>
      <c r="F3" s="2"/>
      <c r="H3" s="2"/>
      <c r="I3" s="2" t="s">
        <v>2</v>
      </c>
      <c r="J3" s="2" t="s">
        <v>3</v>
      </c>
      <c r="K3" s="2" t="s">
        <v>4</v>
      </c>
      <c r="L3" s="2" t="s">
        <v>5</v>
      </c>
      <c r="M3" s="2"/>
    </row>
    <row r="4" spans="1:13" x14ac:dyDescent="0.25">
      <c r="A4" s="2" t="s">
        <v>7</v>
      </c>
      <c r="B4" s="2">
        <v>0.13666165291256999</v>
      </c>
      <c r="C4" s="2">
        <v>0.26720729483015099</v>
      </c>
      <c r="D4" s="2">
        <v>0.78508102623617904</v>
      </c>
      <c r="E4" s="2">
        <v>5.2384600521498799</v>
      </c>
      <c r="F4" s="2">
        <v>6.4274100261293299</v>
      </c>
      <c r="H4" s="2" t="s">
        <v>7</v>
      </c>
      <c r="I4" s="3">
        <f>B4/SUM($B$4:$E$4)</f>
        <v>2.1262320648132216E-2</v>
      </c>
      <c r="J4" s="3">
        <f>C4/SUM($B$4:$E$4)</f>
        <v>4.157308989840338E-2</v>
      </c>
      <c r="K4" s="3">
        <f>D4/SUM($B$4:$E$4)</f>
        <v>0.12214578236718347</v>
      </c>
      <c r="L4" s="3">
        <f>E4/SUM($B$4:$E$4)</f>
        <v>0.81501880708628094</v>
      </c>
      <c r="M4" s="4"/>
    </row>
    <row r="5" spans="1:13" x14ac:dyDescent="0.25">
      <c r="A5" s="2" t="s">
        <v>8</v>
      </c>
      <c r="B5" s="2">
        <v>0.12707739300478099</v>
      </c>
      <c r="C5" s="2">
        <v>0.45021349390745702</v>
      </c>
      <c r="D5" s="2">
        <v>1.1522229519596501</v>
      </c>
      <c r="E5" s="2">
        <v>5.0663180400413399</v>
      </c>
      <c r="F5" s="2">
        <v>6.7958318789145604</v>
      </c>
      <c r="H5" s="2" t="s">
        <v>8</v>
      </c>
      <c r="I5" s="3">
        <f>B5/SUM($B$5:$E$5)</f>
        <v>1.86993138248592E-2</v>
      </c>
      <c r="J5" s="3">
        <f>C5/SUM($B$5:$E$5)</f>
        <v>6.6248474348581735E-2</v>
      </c>
      <c r="K5" s="3">
        <f>D5/SUM($B$5:$E$5)</f>
        <v>0.16954847802148845</v>
      </c>
      <c r="L5" s="3">
        <f>E5/SUM($B$5:$E$5)</f>
        <v>0.74550373380507062</v>
      </c>
      <c r="M5" s="4"/>
    </row>
    <row r="6" spans="1:13" x14ac:dyDescent="0.25">
      <c r="A6" s="2" t="s">
        <v>9</v>
      </c>
      <c r="B6" s="2">
        <v>0.16426579796500199</v>
      </c>
      <c r="C6" s="2">
        <v>0.40576275020071301</v>
      </c>
      <c r="D6" s="2">
        <v>1.0795093498536299</v>
      </c>
      <c r="E6" s="2">
        <v>5.2980768079854901</v>
      </c>
      <c r="F6" s="2">
        <v>6.9476147060064397</v>
      </c>
      <c r="H6" s="2" t="s">
        <v>9</v>
      </c>
      <c r="I6" s="3">
        <f>B6/SUM($B$6:$E$6)</f>
        <v>2.3643481240119259E-2</v>
      </c>
      <c r="J6" s="3">
        <f>C6/SUM($B$6:$E$6)</f>
        <v>5.8403173948320938E-2</v>
      </c>
      <c r="K6" s="3">
        <f>D6/SUM($B$6:$E$6)</f>
        <v>0.15537841338849839</v>
      </c>
      <c r="L6" s="3">
        <f>E6/SUM($B$6:$E$6)</f>
        <v>0.76257493142306143</v>
      </c>
      <c r="M6" s="4"/>
    </row>
    <row r="9" spans="1:13" ht="23.25" x14ac:dyDescent="0.35">
      <c r="A9" s="5" t="s">
        <v>10</v>
      </c>
    </row>
    <row r="11" spans="1:13" x14ac:dyDescent="0.25">
      <c r="A11" s="6" t="s">
        <v>11</v>
      </c>
      <c r="B11" s="6" t="s">
        <v>12</v>
      </c>
      <c r="C11" s="6" t="s">
        <v>14</v>
      </c>
      <c r="D11" s="6" t="s">
        <v>13</v>
      </c>
      <c r="E11" s="6" t="s">
        <v>15</v>
      </c>
    </row>
    <row r="12" spans="1:13" x14ac:dyDescent="0.25">
      <c r="A12" s="33" t="s">
        <v>6</v>
      </c>
      <c r="B12" s="7" t="s">
        <v>7</v>
      </c>
      <c r="C12" s="8">
        <v>4.0964412759917898E-2</v>
      </c>
      <c r="D12" s="8">
        <v>9.5697240152630494E-2</v>
      </c>
      <c r="E12" s="8">
        <v>0.136661652912548</v>
      </c>
    </row>
    <row r="13" spans="1:13" x14ac:dyDescent="0.25">
      <c r="A13" s="33"/>
      <c r="B13" s="7" t="s">
        <v>8</v>
      </c>
      <c r="C13" s="8">
        <v>4.9816714706190902E-2</v>
      </c>
      <c r="D13" s="8">
        <v>7.7260678298585295E-2</v>
      </c>
      <c r="E13" s="8">
        <v>0.127077393004776</v>
      </c>
    </row>
    <row r="14" spans="1:13" x14ac:dyDescent="0.25">
      <c r="A14" s="33"/>
      <c r="B14" s="7" t="s">
        <v>9</v>
      </c>
      <c r="C14" s="8">
        <v>5.2122359008774599E-2</v>
      </c>
      <c r="D14" s="8">
        <v>0.11214343895621701</v>
      </c>
      <c r="E14" s="8">
        <v>0.16426579796499099</v>
      </c>
    </row>
    <row r="15" spans="1:13" x14ac:dyDescent="0.25">
      <c r="A15" s="33" t="s">
        <v>3</v>
      </c>
      <c r="B15" s="7" t="s">
        <v>7</v>
      </c>
      <c r="C15" s="8">
        <v>7.6199773120971703E-2</v>
      </c>
      <c r="D15" s="8">
        <v>0.191007521709185</v>
      </c>
      <c r="E15" s="8">
        <v>0.26720729483015698</v>
      </c>
    </row>
    <row r="16" spans="1:13" x14ac:dyDescent="0.25">
      <c r="A16" s="33"/>
      <c r="B16" s="7" t="s">
        <v>8</v>
      </c>
      <c r="C16" s="8">
        <v>0.105337512441745</v>
      </c>
      <c r="D16" s="8">
        <v>0.34487598146571102</v>
      </c>
      <c r="E16" s="8">
        <v>0.45021349390745602</v>
      </c>
    </row>
    <row r="17" spans="1:5" x14ac:dyDescent="0.25">
      <c r="A17" s="33"/>
      <c r="B17" s="7" t="s">
        <v>9</v>
      </c>
      <c r="C17" s="8">
        <v>9.7591901248327506E-2</v>
      </c>
      <c r="D17" s="8">
        <v>0.308170848952387</v>
      </c>
      <c r="E17" s="8">
        <v>0.40576275020071401</v>
      </c>
    </row>
    <row r="18" spans="1:5" x14ac:dyDescent="0.25">
      <c r="A18" s="33" t="s">
        <v>4</v>
      </c>
      <c r="B18" s="7" t="s">
        <v>7</v>
      </c>
      <c r="C18" s="8">
        <v>0.44887975881744901</v>
      </c>
      <c r="D18" s="8">
        <v>0.33620126741874301</v>
      </c>
      <c r="E18" s="8">
        <v>0.78508102623619203</v>
      </c>
    </row>
    <row r="19" spans="1:5" x14ac:dyDescent="0.25">
      <c r="A19" s="33"/>
      <c r="B19" s="7" t="s">
        <v>8</v>
      </c>
      <c r="C19" s="8">
        <v>0.40142131935695902</v>
      </c>
      <c r="D19" s="8">
        <v>0.75080163260275101</v>
      </c>
      <c r="E19" s="8">
        <v>1.15222295195971</v>
      </c>
    </row>
    <row r="20" spans="1:5" x14ac:dyDescent="0.25">
      <c r="A20" s="33"/>
      <c r="B20" s="7" t="s">
        <v>9</v>
      </c>
      <c r="C20" s="8">
        <v>0.45574594757821202</v>
      </c>
      <c r="D20" s="8">
        <v>0.62376340227546501</v>
      </c>
      <c r="E20" s="8">
        <v>1.0795093498536701</v>
      </c>
    </row>
    <row r="21" spans="1:5" x14ac:dyDescent="0.25">
      <c r="A21" s="33" t="s">
        <v>5</v>
      </c>
      <c r="B21" s="7" t="s">
        <v>7</v>
      </c>
      <c r="C21" s="8">
        <v>4.4988550046508697</v>
      </c>
      <c r="D21" s="8">
        <v>0.739605047499171</v>
      </c>
      <c r="E21" s="8">
        <v>5.2384600521500397</v>
      </c>
    </row>
    <row r="22" spans="1:5" x14ac:dyDescent="0.25">
      <c r="A22" s="33"/>
      <c r="B22" s="7" t="s">
        <v>8</v>
      </c>
      <c r="C22" s="8">
        <v>3.7367366931671202</v>
      </c>
      <c r="D22" s="8">
        <v>1.3295813468756099</v>
      </c>
      <c r="E22" s="8">
        <v>5.0663180400427397</v>
      </c>
    </row>
    <row r="23" spans="1:5" x14ac:dyDescent="0.25">
      <c r="A23" s="33"/>
      <c r="B23" s="7" t="s">
        <v>9</v>
      </c>
      <c r="C23" s="1">
        <v>4.0953785583357103</v>
      </c>
      <c r="D23" s="1">
        <v>1.20269824965171</v>
      </c>
      <c r="E23" s="1">
        <v>5.2980768079874201</v>
      </c>
    </row>
    <row r="27" spans="1:5" x14ac:dyDescent="0.25">
      <c r="A27" s="6" t="s">
        <v>11</v>
      </c>
      <c r="B27" s="6" t="s">
        <v>12</v>
      </c>
      <c r="C27" s="6" t="s">
        <v>14</v>
      </c>
      <c r="D27" s="6" t="s">
        <v>13</v>
      </c>
      <c r="E27" s="6" t="s">
        <v>41</v>
      </c>
    </row>
    <row r="28" spans="1:5" x14ac:dyDescent="0.25">
      <c r="A28" s="33" t="s">
        <v>6</v>
      </c>
      <c r="B28" s="7" t="s">
        <v>7</v>
      </c>
      <c r="C28" s="9">
        <f>C12/E12</f>
        <v>0.29975060221269012</v>
      </c>
      <c r="D28" s="9">
        <f>D12/E12</f>
        <v>0.70024939778731277</v>
      </c>
      <c r="E28" s="10">
        <f>SUM(C28:D28)</f>
        <v>1.0000000000000029</v>
      </c>
    </row>
    <row r="29" spans="1:5" x14ac:dyDescent="0.25">
      <c r="A29" s="33"/>
      <c r="B29" s="7" t="s">
        <v>8</v>
      </c>
      <c r="C29" s="9">
        <f t="shared" ref="C29:C39" si="0">C13/E13</f>
        <v>0.3920187023691824</v>
      </c>
      <c r="D29" s="9">
        <f t="shared" ref="D29:D39" si="1">D13/E13</f>
        <v>0.60798129763081921</v>
      </c>
      <c r="E29" s="10">
        <f t="shared" ref="E29:E39" si="2">SUM(C29:D29)</f>
        <v>1.0000000000000016</v>
      </c>
    </row>
    <row r="30" spans="1:5" x14ac:dyDescent="0.25">
      <c r="A30" s="33"/>
      <c r="B30" s="7" t="s">
        <v>9</v>
      </c>
      <c r="C30" s="9">
        <f t="shared" si="0"/>
        <v>0.31730499991168659</v>
      </c>
      <c r="D30" s="9">
        <f t="shared" si="1"/>
        <v>0.68269500008831707</v>
      </c>
      <c r="E30" s="10">
        <f t="shared" si="2"/>
        <v>1.0000000000000036</v>
      </c>
    </row>
    <row r="31" spans="1:5" x14ac:dyDescent="0.25">
      <c r="A31" s="33" t="s">
        <v>3</v>
      </c>
      <c r="B31" s="7" t="s">
        <v>7</v>
      </c>
      <c r="C31" s="9">
        <f>C15/E15</f>
        <v>0.28517100616360797</v>
      </c>
      <c r="D31" s="9">
        <f t="shared" si="1"/>
        <v>0.71482899383639098</v>
      </c>
      <c r="E31" s="10">
        <f t="shared" si="2"/>
        <v>0.99999999999999889</v>
      </c>
    </row>
    <row r="32" spans="1:5" x14ac:dyDescent="0.25">
      <c r="A32" s="33"/>
      <c r="B32" s="7" t="s">
        <v>8</v>
      </c>
      <c r="C32" s="9">
        <f>C16/E16</f>
        <v>0.23397235726434651</v>
      </c>
      <c r="D32" s="9">
        <f t="shared" si="1"/>
        <v>0.76602764273565349</v>
      </c>
      <c r="E32" s="10">
        <f t="shared" si="2"/>
        <v>1</v>
      </c>
    </row>
    <row r="33" spans="1:5" x14ac:dyDescent="0.25">
      <c r="A33" s="33"/>
      <c r="B33" s="7" t="s">
        <v>9</v>
      </c>
      <c r="C33" s="9">
        <f>C17/E17</f>
        <v>0.24051468795509898</v>
      </c>
      <c r="D33" s="9">
        <f t="shared" si="1"/>
        <v>0.75948531204490222</v>
      </c>
      <c r="E33" s="10">
        <f t="shared" si="2"/>
        <v>1.0000000000000011</v>
      </c>
    </row>
    <row r="34" spans="1:5" x14ac:dyDescent="0.25">
      <c r="A34" s="33" t="s">
        <v>4</v>
      </c>
      <c r="B34" s="7" t="s">
        <v>7</v>
      </c>
      <c r="C34" s="9">
        <f t="shared" si="0"/>
        <v>0.57176233257024778</v>
      </c>
      <c r="D34" s="9">
        <f t="shared" si="1"/>
        <v>0.42823766742975228</v>
      </c>
      <c r="E34" s="10">
        <f t="shared" si="2"/>
        <v>1</v>
      </c>
    </row>
    <row r="35" spans="1:5" x14ac:dyDescent="0.25">
      <c r="A35" s="33"/>
      <c r="B35" s="7" t="s">
        <v>8</v>
      </c>
      <c r="C35" s="9">
        <f t="shared" si="0"/>
        <v>0.34838858111116294</v>
      </c>
      <c r="D35" s="9">
        <f t="shared" si="1"/>
        <v>0.65161141888883711</v>
      </c>
      <c r="E35" s="10">
        <f t="shared" si="2"/>
        <v>1</v>
      </c>
    </row>
    <row r="36" spans="1:5" x14ac:dyDescent="0.25">
      <c r="A36" s="33"/>
      <c r="B36" s="7" t="s">
        <v>9</v>
      </c>
      <c r="C36" s="9">
        <f t="shared" si="0"/>
        <v>0.42217878672379205</v>
      </c>
      <c r="D36" s="9">
        <f t="shared" si="1"/>
        <v>0.57782121327621438</v>
      </c>
      <c r="E36" s="10">
        <f t="shared" si="2"/>
        <v>1.0000000000000064</v>
      </c>
    </row>
    <row r="37" spans="1:5" x14ac:dyDescent="0.25">
      <c r="A37" s="33" t="s">
        <v>5</v>
      </c>
      <c r="B37" s="7" t="s">
        <v>7</v>
      </c>
      <c r="C37" s="9">
        <f t="shared" si="0"/>
        <v>0.85881250593948666</v>
      </c>
      <c r="D37" s="9">
        <f t="shared" si="1"/>
        <v>0.14118749406051351</v>
      </c>
      <c r="E37" s="10">
        <f t="shared" si="2"/>
        <v>1.0000000000000002</v>
      </c>
    </row>
    <row r="38" spans="1:5" x14ac:dyDescent="0.25">
      <c r="A38" s="33"/>
      <c r="B38" s="7" t="s">
        <v>8</v>
      </c>
      <c r="C38" s="9">
        <f t="shared" si="0"/>
        <v>0.73756457127898689</v>
      </c>
      <c r="D38" s="9">
        <f t="shared" si="1"/>
        <v>0.26243542872101128</v>
      </c>
      <c r="E38" s="10">
        <f t="shared" si="2"/>
        <v>0.99999999999999822</v>
      </c>
    </row>
    <row r="39" spans="1:5" x14ac:dyDescent="0.25">
      <c r="A39" s="33"/>
      <c r="B39" s="7" t="s">
        <v>9</v>
      </c>
      <c r="C39" s="9">
        <f t="shared" si="0"/>
        <v>0.77299342889130773</v>
      </c>
      <c r="D39" s="9">
        <f t="shared" si="1"/>
        <v>0.22700657110869235</v>
      </c>
      <c r="E39" s="10">
        <f t="shared" si="2"/>
        <v>1</v>
      </c>
    </row>
    <row r="42" spans="1:5" ht="23.25" x14ac:dyDescent="0.35">
      <c r="A42" s="5" t="s">
        <v>16</v>
      </c>
    </row>
    <row r="44" spans="1:5" x14ac:dyDescent="0.25">
      <c r="A44" s="2" t="s">
        <v>17</v>
      </c>
      <c r="B44" s="1" t="s">
        <v>7</v>
      </c>
      <c r="C44" s="1" t="s">
        <v>8</v>
      </c>
      <c r="D44" s="1" t="s">
        <v>9</v>
      </c>
    </row>
    <row r="45" spans="1:5" x14ac:dyDescent="0.25">
      <c r="A45" s="2" t="s">
        <v>18</v>
      </c>
      <c r="B45" s="11"/>
      <c r="C45" s="11">
        <v>7.1339851922484296</v>
      </c>
      <c r="D45" s="11">
        <v>6.99736624713994</v>
      </c>
    </row>
    <row r="46" spans="1:5" x14ac:dyDescent="0.25">
      <c r="A46" s="2" t="s">
        <v>19</v>
      </c>
      <c r="B46" s="11">
        <v>10.5517822822596</v>
      </c>
      <c r="C46" s="11"/>
      <c r="D46" s="11">
        <v>11.115398755374899</v>
      </c>
    </row>
    <row r="47" spans="1:5" x14ac:dyDescent="0.25">
      <c r="A47" s="2" t="s">
        <v>20</v>
      </c>
      <c r="B47" s="11">
        <v>5.8736341413218698</v>
      </c>
      <c r="C47" s="11">
        <v>6.4784364211192802</v>
      </c>
      <c r="D47" s="11">
        <v>6.3382527059034901</v>
      </c>
    </row>
    <row r="48" spans="1:5" x14ac:dyDescent="0.25">
      <c r="A48" s="2" t="s">
        <v>21</v>
      </c>
      <c r="B48" s="11">
        <v>5.3866154920235099</v>
      </c>
      <c r="C48" s="11"/>
      <c r="D48" s="11">
        <v>5.9022797652970098</v>
      </c>
    </row>
    <row r="53" spans="1:7" ht="23.25" x14ac:dyDescent="0.35">
      <c r="A53" s="5" t="s">
        <v>22</v>
      </c>
    </row>
    <row r="54" spans="1:7" ht="23.25" x14ac:dyDescent="0.35">
      <c r="A54" s="5"/>
    </row>
    <row r="55" spans="1:7" x14ac:dyDescent="0.25">
      <c r="A55" s="8" t="s">
        <v>23</v>
      </c>
      <c r="B55" s="8" t="s">
        <v>7</v>
      </c>
      <c r="C55" s="8" t="s">
        <v>8</v>
      </c>
      <c r="D55" s="8" t="s">
        <v>9</v>
      </c>
    </row>
    <row r="56" spans="1:7" x14ac:dyDescent="0.25">
      <c r="A56" s="8" t="s">
        <v>18</v>
      </c>
      <c r="B56" s="12">
        <v>1.30345536343593</v>
      </c>
      <c r="C56" s="12">
        <v>1.9413204534344699</v>
      </c>
      <c r="D56" s="12">
        <v>1.86451893033583</v>
      </c>
    </row>
    <row r="57" spans="1:7" x14ac:dyDescent="0.25">
      <c r="A57" s="8" t="s">
        <v>24</v>
      </c>
      <c r="B57" s="12">
        <v>1.1054381499713699</v>
      </c>
      <c r="C57" s="12">
        <v>1.5907333039373699</v>
      </c>
      <c r="D57" s="12">
        <v>1.55543211172254</v>
      </c>
    </row>
    <row r="58" spans="1:7" x14ac:dyDescent="0.25">
      <c r="A58" s="8" t="s">
        <v>25</v>
      </c>
      <c r="B58" s="12">
        <v>1.3049818379307401</v>
      </c>
      <c r="C58" s="12">
        <v>1.9839001437822601</v>
      </c>
      <c r="D58" s="12">
        <v>1.7761846126446901</v>
      </c>
    </row>
    <row r="59" spans="1:7" x14ac:dyDescent="0.25">
      <c r="A59" s="8" t="s">
        <v>26</v>
      </c>
      <c r="B59" s="12">
        <v>1.02239591257249</v>
      </c>
      <c r="C59" s="12">
        <v>1.3567173976700699</v>
      </c>
      <c r="D59" s="12">
        <v>1.3675493976719499</v>
      </c>
    </row>
    <row r="62" spans="1:7" ht="24" thickBot="1" x14ac:dyDescent="0.4">
      <c r="A62" s="5" t="s">
        <v>27</v>
      </c>
    </row>
    <row r="63" spans="1:7" x14ac:dyDescent="0.25">
      <c r="E63" s="30" t="s">
        <v>28</v>
      </c>
      <c r="F63" s="31"/>
      <c r="G63" s="32"/>
    </row>
    <row r="64" spans="1:7" x14ac:dyDescent="0.25">
      <c r="A64" s="1" t="s">
        <v>29</v>
      </c>
      <c r="B64" s="1" t="s">
        <v>7</v>
      </c>
      <c r="C64" s="1" t="s">
        <v>8</v>
      </c>
      <c r="D64" s="13" t="s">
        <v>9</v>
      </c>
      <c r="E64" s="14" t="s">
        <v>30</v>
      </c>
      <c r="F64" s="15" t="s">
        <v>31</v>
      </c>
      <c r="G64" s="16" t="s">
        <v>32</v>
      </c>
    </row>
    <row r="65" spans="1:10" ht="15.75" thickBot="1" x14ac:dyDescent="0.3">
      <c r="A65" s="1" t="s">
        <v>33</v>
      </c>
      <c r="B65" s="8">
        <v>2.6632379560948598</v>
      </c>
      <c r="C65" s="8">
        <v>4.2813027413465399</v>
      </c>
      <c r="D65" s="17">
        <v>4.0907688810521901</v>
      </c>
      <c r="E65" s="18">
        <f>AVERAGE(B65:D65)</f>
        <v>3.6784365261645298</v>
      </c>
      <c r="F65" s="19">
        <f>AVERAGE(B66:D66)</f>
        <v>9.0327392903907437</v>
      </c>
      <c r="G65" s="20">
        <f>AVERAGE(B67:D67)</f>
        <v>10.069038546621984</v>
      </c>
    </row>
    <row r="66" spans="1:10" x14ac:dyDescent="0.25">
      <c r="A66" s="1" t="s">
        <v>34</v>
      </c>
      <c r="B66" s="8">
        <v>7.06152029302371</v>
      </c>
      <c r="C66" s="8">
        <v>10.357699760463101</v>
      </c>
      <c r="D66" s="17">
        <v>9.6789978176854206</v>
      </c>
      <c r="E66" s="30" t="s">
        <v>35</v>
      </c>
      <c r="F66" s="31"/>
      <c r="G66" s="32"/>
      <c r="H66" s="21">
        <f>(E71-E65)/E65</f>
        <v>-0.32851906443647533</v>
      </c>
      <c r="I66" s="21">
        <f>(F71-F65)/F65</f>
        <v>-0.75810217368672883</v>
      </c>
      <c r="J66" s="21">
        <f>(G71-G65)/G65</f>
        <v>-0.34750473249462932</v>
      </c>
    </row>
    <row r="67" spans="1:10" x14ac:dyDescent="0.25">
      <c r="A67" s="1" t="s">
        <v>36</v>
      </c>
      <c r="B67" s="8">
        <v>9.8012547957128007</v>
      </c>
      <c r="C67" s="8">
        <v>9.8362621058249502</v>
      </c>
      <c r="D67" s="17">
        <v>10.5695987383282</v>
      </c>
      <c r="E67" s="14" t="s">
        <v>30</v>
      </c>
      <c r="F67" s="15" t="s">
        <v>31</v>
      </c>
      <c r="G67" s="16" t="s">
        <v>32</v>
      </c>
      <c r="H67" s="21"/>
      <c r="I67" s="21"/>
      <c r="J67" s="21"/>
    </row>
    <row r="68" spans="1:10" ht="15.75" thickBot="1" x14ac:dyDescent="0.3">
      <c r="A68" s="1" t="s">
        <v>37</v>
      </c>
      <c r="B68" s="8">
        <v>9.7714049138979693</v>
      </c>
      <c r="C68" s="8">
        <v>15.1325379469949</v>
      </c>
      <c r="D68" s="17">
        <v>10.673130274452699</v>
      </c>
      <c r="E68" s="18">
        <f>AVERAGE(B74:D74)</f>
        <v>3.6440891503682136</v>
      </c>
      <c r="F68" s="19">
        <f>AVERAGE(B75:D75)</f>
        <v>11.291892310235264</v>
      </c>
      <c r="G68" s="20">
        <f>AVERAGE(B76:D76)</f>
        <v>10.725550259767166</v>
      </c>
      <c r="H68" s="21"/>
      <c r="I68" s="21"/>
      <c r="J68" s="21"/>
    </row>
    <row r="69" spans="1:10" x14ac:dyDescent="0.25">
      <c r="E69" s="30" t="s">
        <v>38</v>
      </c>
      <c r="F69" s="31"/>
      <c r="G69" s="32"/>
      <c r="H69" s="21"/>
      <c r="I69" s="21"/>
      <c r="J69" s="21"/>
    </row>
    <row r="70" spans="1:10" ht="15.75" thickBot="1" x14ac:dyDescent="0.3">
      <c r="E70" s="22" t="s">
        <v>30</v>
      </c>
      <c r="F70" s="23" t="s">
        <v>31</v>
      </c>
      <c r="G70" s="24" t="s">
        <v>32</v>
      </c>
      <c r="H70" s="21"/>
      <c r="I70" s="21"/>
      <c r="J70" s="21"/>
    </row>
    <row r="71" spans="1:10" ht="15.75" thickBot="1" x14ac:dyDescent="0.3">
      <c r="E71" s="25">
        <v>2.4700000000000002</v>
      </c>
      <c r="F71" s="26">
        <v>2.1850000000000001</v>
      </c>
      <c r="G71" s="27">
        <v>6.57</v>
      </c>
      <c r="H71" s="21">
        <f>(E71-E68)/E68</f>
        <v>-0.32219001838897893</v>
      </c>
      <c r="I71" s="21">
        <f>(F71-F68)/F68</f>
        <v>-0.80649833172607754</v>
      </c>
      <c r="J71" s="21">
        <f>(G71-G68)/G68</f>
        <v>-0.38744401537654777</v>
      </c>
    </row>
    <row r="72" spans="1:10" ht="23.25" x14ac:dyDescent="0.35">
      <c r="A72" s="5" t="s">
        <v>39</v>
      </c>
    </row>
    <row r="73" spans="1:10" x14ac:dyDescent="0.25">
      <c r="A73" s="8" t="s">
        <v>29</v>
      </c>
      <c r="B73" s="15" t="s">
        <v>7</v>
      </c>
      <c r="C73" s="15" t="s">
        <v>8</v>
      </c>
      <c r="D73" s="28" t="s">
        <v>9</v>
      </c>
    </row>
    <row r="74" spans="1:10" x14ac:dyDescent="0.25">
      <c r="A74" s="8" t="s">
        <v>33</v>
      </c>
      <c r="B74" s="12">
        <v>2.5922880554734902</v>
      </c>
      <c r="C74" s="12">
        <v>4.2726834747094902</v>
      </c>
      <c r="D74" s="29">
        <v>4.0672959209216604</v>
      </c>
    </row>
    <row r="75" spans="1:10" x14ac:dyDescent="0.25">
      <c r="A75" s="8" t="s">
        <v>40</v>
      </c>
      <c r="B75" s="12">
        <v>8.4478095266681894</v>
      </c>
      <c r="C75" s="12">
        <v>13.4549918103148</v>
      </c>
      <c r="D75" s="12">
        <v>11.972875593722801</v>
      </c>
    </row>
    <row r="76" spans="1:10" x14ac:dyDescent="0.25">
      <c r="A76" s="8" t="s">
        <v>36</v>
      </c>
      <c r="B76" s="12">
        <v>10.4602692196547</v>
      </c>
      <c r="C76" s="12">
        <v>10.505638037898001</v>
      </c>
      <c r="D76" s="12">
        <v>11.2107435217488</v>
      </c>
    </row>
    <row r="77" spans="1:10" x14ac:dyDescent="0.25">
      <c r="A77" s="8" t="s">
        <v>37</v>
      </c>
      <c r="B77" s="12">
        <v>9.3373682498217807</v>
      </c>
      <c r="C77" s="12">
        <v>13.6282110453601</v>
      </c>
      <c r="D77" s="12">
        <v>10.725693995576799</v>
      </c>
    </row>
    <row r="78" spans="1:10" x14ac:dyDescent="0.25">
      <c r="J78">
        <v>47</v>
      </c>
    </row>
    <row r="79" spans="1:10" ht="23.25" x14ac:dyDescent="0.35">
      <c r="A79" s="5" t="s">
        <v>45</v>
      </c>
    </row>
    <row r="80" spans="1:10" x14ac:dyDescent="0.25">
      <c r="C80" t="s">
        <v>44</v>
      </c>
    </row>
    <row r="81" spans="1:6" x14ac:dyDescent="0.25">
      <c r="C81" t="s">
        <v>7</v>
      </c>
      <c r="D81" t="s">
        <v>8</v>
      </c>
      <c r="E81" t="s">
        <v>9</v>
      </c>
    </row>
    <row r="82" spans="1:6" x14ac:dyDescent="0.25">
      <c r="A82" s="8" t="s">
        <v>29</v>
      </c>
      <c r="B82" s="8" t="s">
        <v>43</v>
      </c>
      <c r="C82" s="8">
        <v>0.54</v>
      </c>
      <c r="D82" s="8">
        <v>0.4</v>
      </c>
      <c r="E82" s="8">
        <v>0.06</v>
      </c>
      <c r="F82" s="8" t="s">
        <v>42</v>
      </c>
    </row>
    <row r="83" spans="1:6" x14ac:dyDescent="0.25">
      <c r="A83" s="8" t="s">
        <v>33</v>
      </c>
      <c r="B83" s="8">
        <v>369.28000000000003</v>
      </c>
      <c r="C83" s="8">
        <v>531.07947671042336</v>
      </c>
      <c r="D83" s="8">
        <v>632.39979052978015</v>
      </c>
      <c r="E83" s="8">
        <v>90.63834794369717</v>
      </c>
      <c r="F83" s="8">
        <v>1254.1176151839009</v>
      </c>
    </row>
    <row r="84" spans="1:6" x14ac:dyDescent="0.25">
      <c r="A84" s="8" t="s">
        <v>40</v>
      </c>
      <c r="B84" s="8">
        <v>164.14000000000001</v>
      </c>
      <c r="C84" s="8">
        <v>625.90208808433249</v>
      </c>
      <c r="D84" s="8">
        <v>680.0451354729654</v>
      </c>
      <c r="E84" s="8">
        <v>95.322642107693099</v>
      </c>
      <c r="F84" s="8">
        <v>1401.2698656649911</v>
      </c>
    </row>
    <row r="85" spans="1:6" x14ac:dyDescent="0.25">
      <c r="A85" s="8" t="s">
        <v>36</v>
      </c>
      <c r="B85" s="8">
        <v>108.57</v>
      </c>
      <c r="C85" s="8">
        <v>574.62600591209093</v>
      </c>
      <c r="D85" s="8">
        <v>427.16919073176587</v>
      </c>
      <c r="E85" s="8">
        <v>68.852480101217552</v>
      </c>
      <c r="F85" s="8">
        <v>1070.6476767450742</v>
      </c>
    </row>
    <row r="86" spans="1:6" x14ac:dyDescent="0.25">
      <c r="A86" s="8" t="s">
        <v>37</v>
      </c>
      <c r="B86" s="8">
        <v>41.64</v>
      </c>
      <c r="C86" s="8">
        <v>219.71590233194419</v>
      </c>
      <c r="D86" s="8">
        <v>252.04755204514706</v>
      </c>
      <c r="E86" s="8">
        <v>26.665748677692623</v>
      </c>
      <c r="F86" s="8">
        <v>498.4292030547839</v>
      </c>
    </row>
  </sheetData>
  <mergeCells count="14">
    <mergeCell ref="A18:A20"/>
    <mergeCell ref="A1:M1"/>
    <mergeCell ref="A2:F2"/>
    <mergeCell ref="H2:M2"/>
    <mergeCell ref="A12:A14"/>
    <mergeCell ref="A15:A17"/>
    <mergeCell ref="E66:G66"/>
    <mergeCell ref="E69:G69"/>
    <mergeCell ref="A21:A23"/>
    <mergeCell ref="A28:A30"/>
    <mergeCell ref="A31:A33"/>
    <mergeCell ref="A34:A36"/>
    <mergeCell ref="A37:A39"/>
    <mergeCell ref="E63:G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 ALSALEH</dc:creator>
  <cp:lastModifiedBy>Tareq ALSALEH</cp:lastModifiedBy>
  <dcterms:created xsi:type="dcterms:W3CDTF">2015-06-05T18:17:20Z</dcterms:created>
  <dcterms:modified xsi:type="dcterms:W3CDTF">2024-09-05T14:04:42Z</dcterms:modified>
</cp:coreProperties>
</file>