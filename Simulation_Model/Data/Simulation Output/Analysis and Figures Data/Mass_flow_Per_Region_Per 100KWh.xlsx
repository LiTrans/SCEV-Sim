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133ed448fc7105/Desktop/PhD/GitHub/SCEV-Sim/Simulation_Model/Data/Simulation Output/Analysis and Figures Data/"/>
    </mc:Choice>
  </mc:AlternateContent>
  <xr:revisionPtr revIDLastSave="31" documentId="8_{DBB2F238-D873-4635-8272-AF4A45122A18}" xr6:coauthVersionLast="47" xr6:coauthVersionMax="47" xr10:uidLastSave="{FF402D18-79DA-4DD7-934B-08C941E86ADC}"/>
  <bookViews>
    <workbookView minimized="1" xWindow="14295" yWindow="915" windowWidth="9435" windowHeight="11295" xr2:uid="{73DC654C-CE96-4FFA-A5CA-CA6505D01A28}"/>
  </bookViews>
  <sheets>
    <sheet name="Mass_flow_Normalized_labels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E23" i="1"/>
  <c r="E22" i="1"/>
  <c r="E21" i="1"/>
  <c r="N15" i="1"/>
  <c r="M16" i="1"/>
  <c r="M15" i="1"/>
  <c r="K16" i="1"/>
  <c r="J16" i="1"/>
  <c r="J15" i="1"/>
  <c r="H15" i="1"/>
  <c r="G17" i="1"/>
  <c r="G15" i="1"/>
  <c r="D19" i="1"/>
  <c r="D18" i="1"/>
  <c r="G16" i="1"/>
</calcChain>
</file>

<file path=xl/sharedStrings.xml><?xml version="1.0" encoding="utf-8"?>
<sst xmlns="http://schemas.openxmlformats.org/spreadsheetml/2006/main" count="26" uniqueCount="15">
  <si>
    <t>S.America</t>
  </si>
  <si>
    <t>CHN</t>
  </si>
  <si>
    <t>EU</t>
  </si>
  <si>
    <t>JPN</t>
  </si>
  <si>
    <t>KOR</t>
  </si>
  <si>
    <t>N.America</t>
  </si>
  <si>
    <t>Australasia</t>
  </si>
  <si>
    <t>Others</t>
  </si>
  <si>
    <t>Africa</t>
  </si>
  <si>
    <t>labels</t>
  </si>
  <si>
    <t>China</t>
  </si>
  <si>
    <t>US</t>
  </si>
  <si>
    <t>Out-in</t>
  </si>
  <si>
    <t>CH</t>
  </si>
  <si>
    <t xml:space="preserve">EU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</si>
</sst>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A75D-41B3-422D-B336-76CB840880DA}">
  <dimension ref="A1:N23"/>
  <sheetViews>
    <sheetView tabSelected="1" workbookViewId="0">
      <selection activeCell="H21" sqref="H21"/>
    </sheetView>
  </sheetViews>
  <sheetFormatPr defaultRowHeight="15" x14ac:dyDescent="0.25"/>
  <cols>
    <col min="1" max="1" width="11.140625" bestFit="1" customWidth="1"/>
    <col min="2" max="2" width="12" bestFit="1" customWidth="1"/>
    <col min="8" max="8" width="12" bestFit="1" customWidth="1"/>
  </cols>
  <sheetData>
    <row r="1" spans="1:14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4" x14ac:dyDescent="0.25">
      <c r="A2" s="1" t="s">
        <v>0</v>
      </c>
      <c r="B2" s="1">
        <v>16.977950273000001</v>
      </c>
      <c r="C2" s="1">
        <v>52.192425809</v>
      </c>
      <c r="D2" s="1">
        <v>3.0563178</v>
      </c>
      <c r="E2" s="1">
        <v>2.7605226439999995</v>
      </c>
      <c r="F2" s="1">
        <v>0.32184039999999997</v>
      </c>
      <c r="G2" s="1">
        <v>1.8560334000000003</v>
      </c>
      <c r="H2" s="1">
        <v>0</v>
      </c>
      <c r="I2" s="1">
        <v>0</v>
      </c>
      <c r="J2" s="1">
        <v>0</v>
      </c>
    </row>
    <row r="3" spans="1:14" x14ac:dyDescent="0.25">
      <c r="A3" s="1" t="s">
        <v>6</v>
      </c>
      <c r="B3" s="1">
        <v>5.5817541660000005</v>
      </c>
      <c r="C3" s="1">
        <v>55.187650226000002</v>
      </c>
      <c r="D3" s="1">
        <v>4.2362706599999997</v>
      </c>
      <c r="E3" s="1">
        <v>1.0987121440000001</v>
      </c>
      <c r="F3" s="1">
        <v>0.43232726999999999</v>
      </c>
      <c r="G3" s="1">
        <v>2.5513496999999998</v>
      </c>
      <c r="H3" s="1">
        <v>12.11174007</v>
      </c>
      <c r="I3" s="1">
        <v>3.2652874940000003</v>
      </c>
      <c r="J3" s="1">
        <v>0</v>
      </c>
    </row>
    <row r="4" spans="1:14" x14ac:dyDescent="0.25">
      <c r="A4" s="1" t="s">
        <v>2</v>
      </c>
      <c r="B4" s="1">
        <v>1.61195384</v>
      </c>
      <c r="C4" s="1">
        <v>6.1004555199999997</v>
      </c>
      <c r="D4" s="1">
        <v>572.25733261999983</v>
      </c>
      <c r="E4" s="1">
        <v>4.9281237899999999</v>
      </c>
      <c r="F4" s="1">
        <v>8.86514253</v>
      </c>
      <c r="G4" s="1">
        <v>51.246124329999994</v>
      </c>
      <c r="H4" s="1">
        <v>2.3027912000000001</v>
      </c>
      <c r="I4" s="1">
        <v>18.738963390000002</v>
      </c>
      <c r="J4" s="1">
        <v>0</v>
      </c>
    </row>
    <row r="5" spans="1:14" x14ac:dyDescent="0.25">
      <c r="A5" s="1" t="s">
        <v>5</v>
      </c>
      <c r="B5" s="1">
        <v>0.9211164799999999</v>
      </c>
      <c r="C5" s="1">
        <v>6.327917804000001</v>
      </c>
      <c r="D5" s="1">
        <v>21.732365710000003</v>
      </c>
      <c r="E5" s="1">
        <v>0.38433204999999998</v>
      </c>
      <c r="F5" s="1">
        <v>10.74220511</v>
      </c>
      <c r="G5" s="1">
        <v>402.07031251000001</v>
      </c>
      <c r="H5" s="1">
        <v>1.4680293899999999</v>
      </c>
      <c r="I5" s="1">
        <v>3.8859601499999994</v>
      </c>
      <c r="J5" s="1">
        <v>0</v>
      </c>
    </row>
    <row r="6" spans="1:14" x14ac:dyDescent="0.25">
      <c r="A6" s="1" t="s">
        <v>1</v>
      </c>
      <c r="B6" s="1">
        <v>0.31663379000000003</v>
      </c>
      <c r="C6" s="1">
        <v>2175.2561066100002</v>
      </c>
      <c r="D6" s="1">
        <v>204.25782828999999</v>
      </c>
      <c r="E6" s="1">
        <v>9.5440168679999999</v>
      </c>
      <c r="F6" s="1">
        <v>19.387801740000004</v>
      </c>
      <c r="G6" s="1">
        <v>39.071279200000006</v>
      </c>
      <c r="H6" s="1">
        <v>21.156894149999999</v>
      </c>
      <c r="I6" s="1">
        <v>40.717541110000006</v>
      </c>
      <c r="J6" s="1">
        <v>0</v>
      </c>
    </row>
    <row r="7" spans="1:14" x14ac:dyDescent="0.25">
      <c r="A7" s="1" t="s">
        <v>8</v>
      </c>
      <c r="B7" s="1">
        <v>0</v>
      </c>
      <c r="C7" s="1">
        <v>25.980863933000006</v>
      </c>
      <c r="D7" s="1">
        <v>2.1923962700000001</v>
      </c>
      <c r="E7" s="1">
        <v>0.75344522799999991</v>
      </c>
      <c r="F7" s="1">
        <v>0.22734203000000003</v>
      </c>
      <c r="G7" s="1">
        <v>1.2997238899999999</v>
      </c>
      <c r="H7" s="1">
        <v>0</v>
      </c>
      <c r="I7" s="1">
        <v>0</v>
      </c>
      <c r="J7" s="1">
        <v>1.9754051509999999</v>
      </c>
    </row>
    <row r="8" spans="1:14" x14ac:dyDescent="0.25">
      <c r="A8" s="1" t="s">
        <v>7</v>
      </c>
      <c r="B8" s="1">
        <v>0</v>
      </c>
      <c r="C8" s="1">
        <v>46.445362101999997</v>
      </c>
      <c r="D8" s="1">
        <v>6.7479849300000003</v>
      </c>
      <c r="E8" s="1">
        <v>1.439670754</v>
      </c>
      <c r="F8" s="1">
        <v>0.55275569999999996</v>
      </c>
      <c r="G8" s="1">
        <v>3.0960397899999998</v>
      </c>
      <c r="H8" s="1">
        <v>0</v>
      </c>
      <c r="I8" s="1">
        <v>80.091815507999996</v>
      </c>
      <c r="J8" s="1">
        <v>0</v>
      </c>
    </row>
    <row r="9" spans="1:14" x14ac:dyDescent="0.25">
      <c r="A9" s="1" t="s">
        <v>3</v>
      </c>
      <c r="B9" s="1">
        <v>0</v>
      </c>
      <c r="C9" s="1">
        <v>1.6220783999999999</v>
      </c>
      <c r="D9" s="1">
        <v>0.34795439999999994</v>
      </c>
      <c r="E9" s="1">
        <v>8.0313599999999999E-2</v>
      </c>
      <c r="F9" s="1">
        <v>3.5030400000000003E-2</v>
      </c>
      <c r="G9" s="1">
        <v>12.654686399999999</v>
      </c>
      <c r="H9" s="1">
        <v>0</v>
      </c>
      <c r="I9" s="1">
        <v>12.339600000000001</v>
      </c>
      <c r="J9" s="1">
        <v>0</v>
      </c>
    </row>
    <row r="10" spans="1:14" x14ac:dyDescent="0.25">
      <c r="A10" s="1" t="s">
        <v>4</v>
      </c>
      <c r="B10" s="1">
        <v>8.6354669999999994E-2</v>
      </c>
      <c r="C10" s="1">
        <v>0.26084933999999999</v>
      </c>
      <c r="D10" s="1">
        <v>41.820314850000003</v>
      </c>
      <c r="E10" s="1">
        <v>0.71962225000000002</v>
      </c>
      <c r="F10" s="1">
        <v>35.322212740000005</v>
      </c>
      <c r="G10" s="1">
        <v>36.137095039999998</v>
      </c>
      <c r="H10" s="1">
        <v>2.5042854299999999</v>
      </c>
      <c r="I10" s="1">
        <v>3.4541868</v>
      </c>
      <c r="J10" s="1">
        <v>0</v>
      </c>
    </row>
    <row r="14" spans="1:14" x14ac:dyDescent="0.25">
      <c r="G14" t="s">
        <v>10</v>
      </c>
      <c r="J14" t="s">
        <v>11</v>
      </c>
      <c r="M14" t="s">
        <v>2</v>
      </c>
    </row>
    <row r="15" spans="1:14" x14ac:dyDescent="0.25">
      <c r="G15">
        <f>SUM(B6:J6)+SUM(C2:C5)+SUM(C7:C10)</f>
        <v>2703.8257048920009</v>
      </c>
      <c r="H15" s="2">
        <f>C6/G15</f>
        <v>0.80451047664586306</v>
      </c>
      <c r="J15">
        <f>SUM(G2:G10)+SUM(B5:F5)+SUM(H5:J5)</f>
        <v>595.44457095399991</v>
      </c>
      <c r="M15">
        <f>SUM(D2:D10)+SUM(B4:C4)+SUM(E4:J4)</f>
        <v>950.4423201300001</v>
      </c>
      <c r="N15">
        <f>D4/M15</f>
        <v>0.6020958037113997</v>
      </c>
    </row>
    <row r="16" spans="1:14" x14ac:dyDescent="0.25">
      <c r="G16">
        <f>SUM(B2:J10)</f>
        <v>4103.1087998439998</v>
      </c>
      <c r="J16">
        <f>J15/G16</f>
        <v>0.14512034654714462</v>
      </c>
      <c r="K16">
        <f>G5/J15</f>
        <v>0.67524389695218379</v>
      </c>
      <c r="M16">
        <f>M15/G16</f>
        <v>0.23163956075601405</v>
      </c>
    </row>
    <row r="17" spans="4:7" x14ac:dyDescent="0.25">
      <c r="G17">
        <f>G15/G16</f>
        <v>0.65897002414237715</v>
      </c>
    </row>
    <row r="18" spans="4:7" x14ac:dyDescent="0.25">
      <c r="D18">
        <f>B2+H3+D4+G5+C6+J7+I8+E9+F10</f>
        <v>3296.1431890819995</v>
      </c>
    </row>
    <row r="19" spans="4:7" x14ac:dyDescent="0.25">
      <c r="D19">
        <f>D18/G16</f>
        <v>0.80332824447826456</v>
      </c>
      <c r="E19" t="s">
        <v>13</v>
      </c>
      <c r="F19" t="s">
        <v>11</v>
      </c>
      <c r="G19" t="s">
        <v>14</v>
      </c>
    </row>
    <row r="20" spans="4:7" x14ac:dyDescent="0.25">
      <c r="E20" t="s">
        <v>12</v>
      </c>
    </row>
    <row r="21" spans="4:7" x14ac:dyDescent="0.25">
      <c r="E21">
        <f>SUM(B6:J6)</f>
        <v>2509.7081017580008</v>
      </c>
      <c r="F21">
        <f>SUM(B5:J5)-SUM(G2:G10)</f>
        <v>-102.45040505599985</v>
      </c>
      <c r="G21">
        <f>SUM(B4:J4)-SUM(D2:D10)</f>
        <v>-190.59787831000017</v>
      </c>
    </row>
    <row r="22" spans="4:7" x14ac:dyDescent="0.25">
      <c r="E22">
        <f>SUM(C2:C10)</f>
        <v>2369.3737097440003</v>
      </c>
    </row>
    <row r="23" spans="4:7" x14ac:dyDescent="0.25">
      <c r="E23">
        <f>E21-E22</f>
        <v>140.33439201400051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Mass_flow_Normalized_labels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 ALSALEH</dc:creator>
  <cp:lastModifiedBy>Tareq ALSALEH</cp:lastModifiedBy>
  <dcterms:created xsi:type="dcterms:W3CDTF">2024-07-05T19:52:14Z</dcterms:created>
  <dcterms:modified xsi:type="dcterms:W3CDTF">2024-09-05T21:20:37Z</dcterms:modified>
</cp:coreProperties>
</file>